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10" codeName="{4D1C537B-E38A-612A-F078-A93A15B4B7F4}"/>
  <workbookPr codeName="ThisWorkbook" defaultThemeVersion="166925"/>
  <mc:AlternateContent xmlns:mc="http://schemas.openxmlformats.org/markup-compatibility/2006">
    <mc:Choice Requires="x15">
      <x15ac:absPath xmlns:x15ac="http://schemas.microsoft.com/office/spreadsheetml/2010/11/ac" url="C:\laragon\www\tbn\wp-content\uploads\inflation\"/>
    </mc:Choice>
  </mc:AlternateContent>
  <xr:revisionPtr revIDLastSave="0" documentId="13_ncr:1_{FB3D1587-6711-433D-8205-260A2B13B6D5}" xr6:coauthVersionLast="46" xr6:coauthVersionMax="46" xr10:uidLastSave="{00000000-0000-0000-0000-000000000000}"/>
  <bookViews>
    <workbookView xWindow="-28920" yWindow="-120" windowWidth="29040" windowHeight="15840" xr2:uid="{00000000-000D-0000-FFFF-FFFF00000000}"/>
  </bookViews>
  <sheets>
    <sheet name="OZ vs non-OZ calculator" sheetId="7" r:id="rId1"/>
  </sheets>
  <definedNames>
    <definedName name="_xlnm.Print_Area" localSheetId="0">'OZ vs non-OZ calculator'!$A$1:$M$43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7" l="1"/>
  <c r="D16" i="7"/>
  <c r="D6" i="7" l="1"/>
  <c r="D17" i="7" l="1"/>
  <c r="D10" i="7" s="1"/>
  <c r="C17" i="7" l="1"/>
  <c r="D8" i="7"/>
  <c r="C4" i="7"/>
  <c r="C5" i="7" l="1"/>
  <c r="C6" i="7" s="1"/>
  <c r="C8" i="7" s="1"/>
  <c r="C9" i="7" s="1"/>
  <c r="C11" i="7" s="1"/>
  <c r="D12" i="7"/>
  <c r="D9" i="7"/>
  <c r="C12" i="7" l="1"/>
  <c r="Q1" i="7" s="1"/>
  <c r="AD1" i="7" l="1"/>
</calcChain>
</file>

<file path=xl/sharedStrings.xml><?xml version="1.0" encoding="utf-8"?>
<sst xmlns="http://schemas.openxmlformats.org/spreadsheetml/2006/main" count="43" uniqueCount="43">
  <si>
    <t xml:space="preserve">  Initial capital gain tax</t>
  </si>
  <si>
    <t>Net cash after taxes</t>
  </si>
  <si>
    <t>Qualified opportunity fund investment</t>
  </si>
  <si>
    <t xml:space="preserve">  Gross proceeds at liquidation</t>
  </si>
  <si>
    <t xml:space="preserve">  Total investment gains</t>
  </si>
  <si>
    <t>Tax rate</t>
  </si>
  <si>
    <t>1. Insert amount of capital gain in cell D4</t>
  </si>
  <si>
    <t xml:space="preserve">Second capital gains tax on liquidation </t>
  </si>
  <si>
    <t>After-tax non-OZ investment</t>
  </si>
  <si>
    <t>Assumptions</t>
  </si>
  <si>
    <t xml:space="preserve">   * Assumes that the new OZ investment is held for the required 10 years to qualify for all OZ benefits</t>
  </si>
  <si>
    <t>Limitations</t>
  </si>
  <si>
    <t xml:space="preserve">   * The calculation does not include the positive net present value benefit of deferring payment of the original capital gain until the 2026 tax return</t>
  </si>
  <si>
    <t xml:space="preserve">   * The simplified model assumes a single investment and return of appreciated value after 10-years</t>
  </si>
  <si>
    <t xml:space="preserve">   * Source of investment is from a gain that qualifies for OZ benefits</t>
  </si>
  <si>
    <t>Instructions for use</t>
  </si>
  <si>
    <r>
      <rPr>
        <sz val="16"/>
        <color theme="1"/>
        <rFont val="Roboto Black"/>
      </rPr>
      <t xml:space="preserve">Opportunity zone (OZ) vs non-OZ analysis: </t>
    </r>
    <r>
      <rPr>
        <sz val="16"/>
        <color theme="1"/>
        <rFont val="Roboto Light"/>
      </rPr>
      <t>Interactive calculator</t>
    </r>
  </si>
  <si>
    <t xml:space="preserve">   * User correctly uses the goal seek function as instructed to solve for a non-OZ rate that returns that same amount of after-tax cash as the OZ investment</t>
  </si>
  <si>
    <t xml:space="preserve">   * The model uses the Excel Future Value (FV) function to calculate the value of each investment using a fixed rate entered by the User for the OZ Investment</t>
  </si>
  <si>
    <t xml:space="preserve">   * The model does not account for other complex tax-basis matters such as depreciation and periodic cash distributions</t>
  </si>
  <si>
    <t>Disclaimers</t>
  </si>
  <si>
    <r>
      <rPr>
        <sz val="11"/>
        <color theme="1"/>
        <rFont val="Roboto Black"/>
      </rPr>
      <t>IMPORTANT</t>
    </r>
    <r>
      <rPr>
        <sz val="11"/>
        <color theme="1"/>
        <rFont val="Roboto Light"/>
      </rPr>
      <t>:  The projections or other information generated by this calculator regarding the likelihood of various investment outcomes are hypothetical in nature, do not reflect actual investment results and are not guarantees of future results</t>
    </r>
  </si>
  <si>
    <t xml:space="preserve">Tax advice, if any, contained in this communication was not intended or written to be used by any taxpayer for the purpose of avoiding penalties. </t>
  </si>
  <si>
    <t xml:space="preserve">3. Insert a rate of return for the OZ investment in cell D7 </t>
  </si>
  <si>
    <t xml:space="preserve">   * Results will vary based on the assumptions entered by the the user</t>
  </si>
  <si>
    <t xml:space="preserve">   * This is a simplified illustration comparing the different returns needed to generate equaivalent after-tax returns of an investment that qualifies for OZ benefits and one that does not.</t>
  </si>
  <si>
    <r>
      <t xml:space="preserve">   * This calculator should </t>
    </r>
    <r>
      <rPr>
        <b/>
        <sz val="11"/>
        <color theme="1"/>
        <rFont val="Roboto Light"/>
      </rPr>
      <t>not</t>
    </r>
    <r>
      <rPr>
        <sz val="11"/>
        <color theme="1"/>
        <rFont val="Roboto Light"/>
      </rPr>
      <t xml:space="preserve"> be used when assessing an actual investment given its limited functionality.</t>
    </r>
  </si>
  <si>
    <t xml:space="preserve">  Initial investment</t>
  </si>
  <si>
    <t>Current Rate</t>
  </si>
  <si>
    <t>Future Rate Assumption</t>
  </si>
  <si>
    <t xml:space="preserve">     to end up with the same amount of after-tax cash after 10 years </t>
  </si>
  <si>
    <t xml:space="preserve">   * User enters investment amount and current and future capital gains rate, as applicable to their situation and projected return on the OZ investment</t>
  </si>
  <si>
    <t xml:space="preserve">   * Note that the deferred gain taxed in 2026 will be at the rates in effect at that time.  Future changes to the tax law could result in higher rates. This calculator enables you to assess the impact of various future 
      capital gain rates</t>
  </si>
  <si>
    <t>Net investment income tax (if applicable)</t>
  </si>
  <si>
    <t>Federal long-term capital gain</t>
  </si>
  <si>
    <t>State capital gain (if applicable)</t>
  </si>
  <si>
    <t>Average annual appreciation in value</t>
  </si>
  <si>
    <t>Capital gain</t>
  </si>
  <si>
    <t>Payment of deferred and reduced capital gains in 2026</t>
  </si>
  <si>
    <t xml:space="preserve">The tool demonstrates the impact of OZ benefits, particularly the step-up benefit after holding the investment for 10 years, when making a reinvestment decision, and choosing between an option that includes OZ benefits and one that does not.  </t>
  </si>
  <si>
    <t xml:space="preserve">2. Customize current capital gain rates in C14 &amp; C15, and stress test future cap gain </t>
  </si>
  <si>
    <t xml:space="preserve">     rates in cells D14 and D15</t>
  </si>
  <si>
    <r>
      <t>4. Click "</t>
    </r>
    <r>
      <rPr>
        <b/>
        <sz val="11"/>
        <color theme="1"/>
        <rFont val="Roboto Light"/>
      </rPr>
      <t>Goal Seek</t>
    </r>
    <r>
      <rPr>
        <sz val="11"/>
        <color theme="1"/>
        <rFont val="Roboto Light"/>
      </rPr>
      <t>" button to solve for the rate needed on the non-OZ investment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</si>
</sst>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00000%"/>
  </numFmts>
  <fonts count="20">
    <font>
      <sz val="11"/>
      <color theme="1"/>
      <name val="Calibri"/>
      <family val="2"/>
      <scheme val="minor"/>
    </font>
    <font>
      <sz val="11"/>
      <color theme="1"/>
      <name val="Calibri"/>
      <family val="2"/>
      <scheme val="minor"/>
    </font>
    <font>
      <sz val="11"/>
      <color theme="0"/>
      <name val="Calibri"/>
      <family val="2"/>
      <scheme val="minor"/>
    </font>
    <font>
      <b/>
      <sz val="11"/>
      <color theme="0"/>
      <name val="Roboto Black"/>
    </font>
    <font>
      <b/>
      <sz val="11"/>
      <color theme="1"/>
      <name val="Roboto Black"/>
    </font>
    <font>
      <sz val="11"/>
      <color theme="1"/>
      <name val="Roboto Light"/>
    </font>
    <font>
      <sz val="11"/>
      <color rgb="FFFF0000"/>
      <name val="Roboto Light"/>
    </font>
    <font>
      <sz val="11"/>
      <color theme="0"/>
      <name val="Roboto Black"/>
    </font>
    <font>
      <sz val="11"/>
      <name val="Roboto Light"/>
    </font>
    <font>
      <sz val="15"/>
      <color theme="1"/>
      <name val="Roboto Black"/>
    </font>
    <font>
      <sz val="12"/>
      <color theme="1"/>
      <name val="Roboto Black"/>
    </font>
    <font>
      <sz val="16"/>
      <color theme="1"/>
      <name val="Roboto Black"/>
    </font>
    <font>
      <sz val="16"/>
      <color theme="1"/>
      <name val="Roboto Light"/>
    </font>
    <font>
      <b/>
      <sz val="11"/>
      <color theme="1"/>
      <name val="Roboto Light"/>
    </font>
    <font>
      <sz val="11"/>
      <color theme="1"/>
      <name val="Roboto Black"/>
    </font>
    <font>
      <sz val="11"/>
      <color rgb="FF000000"/>
      <name val="Calibri"/>
      <family val="2"/>
    </font>
    <font>
      <b/>
      <sz val="11"/>
      <color theme="4"/>
      <name val="Roboto Light"/>
    </font>
    <font>
      <b/>
      <sz val="11"/>
      <color theme="4"/>
      <name val="Roboto Black"/>
    </font>
    <font>
      <sz val="11"/>
      <color theme="4"/>
      <name val="Roboto Black"/>
    </font>
    <font>
      <b/>
      <u val="singleAccounting"/>
      <sz val="10"/>
      <color theme="1"/>
      <name val="Roboto Condensed Light"/>
    </font>
  </fonts>
  <fills count="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C9EC51"/>
        <bgColor indexed="64"/>
      </patternFill>
    </fill>
    <fill>
      <patternFill patternType="solid">
        <fgColor rgb="FFD9D9D6"/>
        <bgColor indexed="64"/>
      </patternFill>
    </fill>
    <fill>
      <patternFill patternType="solid">
        <fgColor theme="0" tint="-0.149998474074526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64">
    <xf numFmtId="0" fontId="0" fillId="0" borderId="0" xfId="0"/>
    <xf numFmtId="0" fontId="2" fillId="3" borderId="2" xfId="0" applyFont="1" applyFill="1" applyBorder="1" applyAlignment="1" applyProtection="1">
      <alignment wrapText="1"/>
    </xf>
    <xf numFmtId="0" fontId="4" fillId="4" borderId="5" xfId="0" applyFont="1" applyFill="1" applyBorder="1" applyAlignment="1" applyProtection="1">
      <alignment wrapText="1"/>
    </xf>
    <xf numFmtId="0" fontId="5" fillId="2" borderId="5" xfId="0" applyFont="1" applyFill="1" applyBorder="1" applyAlignment="1" applyProtection="1">
      <alignment wrapText="1"/>
    </xf>
    <xf numFmtId="0" fontId="7" fillId="3" borderId="9" xfId="0" applyFont="1" applyFill="1" applyBorder="1" applyAlignment="1" applyProtection="1">
      <alignment wrapText="1"/>
    </xf>
    <xf numFmtId="10" fontId="3" fillId="3" borderId="10" xfId="2" applyNumberFormat="1" applyFont="1" applyFill="1" applyBorder="1" applyProtection="1"/>
    <xf numFmtId="164" fontId="4" fillId="4" borderId="1" xfId="1" applyNumberFormat="1" applyFont="1" applyFill="1" applyBorder="1" applyAlignment="1" applyProtection="1">
      <alignment horizontal="center"/>
    </xf>
    <xf numFmtId="0" fontId="3" fillId="3" borderId="4" xfId="0" applyFont="1" applyFill="1" applyBorder="1" applyAlignment="1" applyProtection="1">
      <alignment horizontal="center" vertical="center" wrapText="1"/>
    </xf>
    <xf numFmtId="0" fontId="8" fillId="5" borderId="7" xfId="0" applyFont="1" applyFill="1" applyBorder="1" applyAlignment="1" applyProtection="1">
      <alignment wrapText="1"/>
    </xf>
    <xf numFmtId="0" fontId="3" fillId="3" borderId="3" xfId="0" applyFont="1" applyFill="1" applyBorder="1" applyAlignment="1" applyProtection="1">
      <alignment horizontal="center" vertical="top" wrapText="1"/>
    </xf>
    <xf numFmtId="0" fontId="0" fillId="2" borderId="0" xfId="0" applyFill="1" applyAlignment="1" applyProtection="1">
      <alignment wrapText="1"/>
    </xf>
    <xf numFmtId="0" fontId="0" fillId="2" borderId="0" xfId="0" applyFill="1" applyProtection="1"/>
    <xf numFmtId="0" fontId="5" fillId="2" borderId="0" xfId="0" applyFont="1" applyFill="1" applyAlignment="1" applyProtection="1">
      <alignment wrapText="1"/>
    </xf>
    <xf numFmtId="0" fontId="0" fillId="6" borderId="0" xfId="0" applyFill="1" applyProtection="1"/>
    <xf numFmtId="164" fontId="0" fillId="2" borderId="0" xfId="0" applyNumberFormat="1" applyFill="1" applyProtection="1"/>
    <xf numFmtId="0" fontId="0" fillId="0" borderId="0" xfId="0" applyProtection="1"/>
    <xf numFmtId="0" fontId="5" fillId="2" borderId="7" xfId="0" applyFont="1" applyFill="1" applyBorder="1" applyAlignment="1" applyProtection="1">
      <alignment horizontal="left"/>
    </xf>
    <xf numFmtId="0" fontId="5" fillId="2" borderId="0" xfId="0" applyFont="1" applyFill="1" applyBorder="1" applyAlignment="1" applyProtection="1">
      <alignment horizontal="left"/>
    </xf>
    <xf numFmtId="0" fontId="5" fillId="2" borderId="8" xfId="0" applyFont="1" applyFill="1" applyBorder="1" applyAlignment="1" applyProtection="1">
      <alignment horizontal="left"/>
    </xf>
    <xf numFmtId="164" fontId="6" fillId="2" borderId="1" xfId="1" applyNumberFormat="1" applyFont="1" applyFill="1" applyBorder="1" applyAlignment="1" applyProtection="1">
      <alignment horizontal="center"/>
    </xf>
    <xf numFmtId="164" fontId="5" fillId="2" borderId="6" xfId="1" applyNumberFormat="1" applyFont="1" applyFill="1" applyBorder="1" applyAlignment="1" applyProtection="1">
      <alignment horizontal="center" wrapText="1"/>
    </xf>
    <xf numFmtId="164" fontId="5" fillId="2" borderId="1" xfId="1" applyNumberFormat="1" applyFont="1" applyFill="1" applyBorder="1" applyAlignment="1" applyProtection="1">
      <alignment horizontal="center"/>
    </xf>
    <xf numFmtId="164" fontId="5" fillId="2" borderId="6" xfId="1" applyNumberFormat="1" applyFont="1" applyFill="1" applyBorder="1" applyAlignment="1" applyProtection="1">
      <alignment horizontal="center"/>
    </xf>
    <xf numFmtId="164" fontId="5" fillId="2" borderId="1" xfId="1" applyNumberFormat="1" applyFont="1" applyFill="1" applyBorder="1" applyProtection="1"/>
    <xf numFmtId="164" fontId="5" fillId="2" borderId="6" xfId="1" applyNumberFormat="1" applyFont="1" applyFill="1" applyBorder="1" applyProtection="1"/>
    <xf numFmtId="0" fontId="5" fillId="2" borderId="7" xfId="0" applyFont="1" applyFill="1" applyBorder="1" applyProtection="1"/>
    <xf numFmtId="0" fontId="5" fillId="2" borderId="0" xfId="0" applyFont="1" applyFill="1" applyBorder="1" applyProtection="1"/>
    <xf numFmtId="0" fontId="5" fillId="2" borderId="8" xfId="0" applyFont="1" applyFill="1" applyBorder="1" applyProtection="1"/>
    <xf numFmtId="164" fontId="6" fillId="2" borderId="6" xfId="1" applyNumberFormat="1" applyFont="1" applyFill="1" applyBorder="1" applyAlignment="1" applyProtection="1">
      <alignment wrapText="1"/>
    </xf>
    <xf numFmtId="8" fontId="0" fillId="2" borderId="0" xfId="0" applyNumberFormat="1" applyFill="1" applyProtection="1"/>
    <xf numFmtId="164" fontId="6" fillId="2" borderId="1" xfId="1" applyNumberFormat="1" applyFont="1" applyFill="1" applyBorder="1" applyProtection="1"/>
    <xf numFmtId="164" fontId="5" fillId="2" borderId="6" xfId="1" applyNumberFormat="1" applyFont="1" applyFill="1" applyBorder="1" applyAlignment="1" applyProtection="1">
      <alignment wrapText="1"/>
    </xf>
    <xf numFmtId="164" fontId="4" fillId="4" borderId="1" xfId="1" applyNumberFormat="1" applyFont="1" applyFill="1" applyBorder="1" applyProtection="1"/>
    <xf numFmtId="164" fontId="4" fillId="4" borderId="6" xfId="1" applyNumberFormat="1" applyFont="1" applyFill="1" applyBorder="1" applyProtection="1"/>
    <xf numFmtId="9" fontId="0" fillId="2" borderId="0" xfId="2" applyFont="1" applyFill="1" applyProtection="1"/>
    <xf numFmtId="165" fontId="0" fillId="2" borderId="0" xfId="0" applyNumberFormat="1" applyFill="1" applyAlignment="1" applyProtection="1">
      <alignment wrapText="1"/>
    </xf>
    <xf numFmtId="0" fontId="0" fillId="6" borderId="0" xfId="0" applyFill="1" applyAlignment="1" applyProtection="1">
      <alignment wrapText="1"/>
    </xf>
    <xf numFmtId="0" fontId="0" fillId="0" borderId="0" xfId="0" applyAlignment="1" applyProtection="1">
      <alignment wrapText="1"/>
    </xf>
    <xf numFmtId="10" fontId="16" fillId="6" borderId="0" xfId="2" applyNumberFormat="1" applyFont="1" applyFill="1" applyBorder="1" applyProtection="1">
      <protection locked="0"/>
    </xf>
    <xf numFmtId="10" fontId="18" fillId="4" borderId="6" xfId="2" applyNumberFormat="1" applyFont="1" applyFill="1" applyBorder="1" applyAlignment="1" applyProtection="1">
      <alignment wrapText="1"/>
      <protection locked="0"/>
    </xf>
    <xf numFmtId="164" fontId="17" fillId="4" borderId="6" xfId="1" applyNumberFormat="1" applyFont="1" applyFill="1" applyBorder="1" applyAlignment="1" applyProtection="1">
      <alignment horizontal="center" wrapText="1"/>
      <protection locked="0"/>
    </xf>
    <xf numFmtId="0" fontId="4" fillId="6" borderId="7" xfId="0" applyFont="1" applyFill="1" applyBorder="1" applyAlignment="1" applyProtection="1">
      <alignment wrapText="1"/>
    </xf>
    <xf numFmtId="43" fontId="19" fillId="6" borderId="0" xfId="3" applyFont="1" applyFill="1" applyBorder="1" applyAlignment="1" applyProtection="1">
      <alignment horizontal="center"/>
    </xf>
    <xf numFmtId="43" fontId="19" fillId="6" borderId="8" xfId="3" applyFont="1" applyFill="1" applyBorder="1" applyAlignment="1" applyProtection="1">
      <alignment horizontal="center"/>
    </xf>
    <xf numFmtId="10" fontId="16" fillId="6" borderId="8" xfId="2" applyNumberFormat="1" applyFont="1" applyFill="1" applyBorder="1" applyProtection="1">
      <protection locked="0"/>
    </xf>
    <xf numFmtId="10" fontId="3" fillId="3" borderId="11" xfId="2" applyNumberFormat="1" applyFont="1" applyFill="1" applyBorder="1" applyProtection="1"/>
    <xf numFmtId="10" fontId="4" fillId="4" borderId="1" xfId="2" applyNumberFormat="1" applyFont="1" applyFill="1" applyBorder="1" applyProtection="1">
      <protection locked="0"/>
    </xf>
    <xf numFmtId="0" fontId="3" fillId="3" borderId="15" xfId="0" applyFont="1" applyFill="1" applyBorder="1" applyAlignment="1" applyProtection="1">
      <alignment horizontal="center" vertical="center"/>
    </xf>
    <xf numFmtId="0" fontId="3" fillId="3" borderId="16" xfId="0" applyFont="1" applyFill="1" applyBorder="1" applyAlignment="1" applyProtection="1">
      <alignment horizontal="center" vertical="center"/>
    </xf>
    <xf numFmtId="0" fontId="3" fillId="3" borderId="17" xfId="0" applyFont="1" applyFill="1" applyBorder="1" applyAlignment="1" applyProtection="1">
      <alignment horizontal="center" vertical="center"/>
    </xf>
    <xf numFmtId="0" fontId="0" fillId="2" borderId="0" xfId="0" applyFill="1" applyBorder="1" applyProtection="1"/>
    <xf numFmtId="0" fontId="0" fillId="2" borderId="8" xfId="0" applyFill="1" applyBorder="1" applyProtection="1"/>
    <xf numFmtId="164" fontId="2" fillId="6" borderId="0" xfId="0" applyNumberFormat="1" applyFont="1" applyFill="1" applyProtection="1">
      <protection locked="0"/>
    </xf>
    <xf numFmtId="0" fontId="11" fillId="2" borderId="0" xfId="0" applyFont="1" applyFill="1" applyAlignment="1" applyProtection="1">
      <alignment horizontal="left"/>
    </xf>
    <xf numFmtId="0" fontId="9" fillId="2" borderId="0" xfId="0" applyFont="1" applyFill="1" applyAlignment="1" applyProtection="1">
      <alignment horizontal="left"/>
    </xf>
    <xf numFmtId="0" fontId="5" fillId="2" borderId="0" xfId="0" applyFont="1" applyFill="1" applyAlignment="1" applyProtection="1">
      <alignment horizontal="left" vertical="center" wrapText="1"/>
    </xf>
    <xf numFmtId="0" fontId="10" fillId="2" borderId="0" xfId="0" applyFont="1" applyFill="1" applyAlignment="1" applyProtection="1">
      <alignment horizontal="left" wrapText="1"/>
    </xf>
    <xf numFmtId="0" fontId="3" fillId="3" borderId="12" xfId="0" applyFont="1" applyFill="1" applyBorder="1" applyAlignment="1" applyProtection="1">
      <alignment horizontal="center" vertical="center"/>
    </xf>
    <xf numFmtId="0" fontId="3" fillId="3" borderId="13" xfId="0" applyFont="1" applyFill="1" applyBorder="1" applyAlignment="1" applyProtection="1">
      <alignment horizontal="center" vertical="center"/>
    </xf>
    <xf numFmtId="0" fontId="3" fillId="3" borderId="14" xfId="0" applyFont="1" applyFill="1" applyBorder="1" applyAlignment="1" applyProtection="1">
      <alignment horizontal="center" vertical="center"/>
    </xf>
    <xf numFmtId="0" fontId="5" fillId="2" borderId="0" xfId="0" applyFont="1" applyFill="1" applyAlignment="1" applyProtection="1">
      <alignment horizontal="left" wrapText="1"/>
    </xf>
    <xf numFmtId="0" fontId="0" fillId="2" borderId="0" xfId="0" applyFill="1" applyAlignment="1" applyProtection="1">
      <alignment horizontal="left" wrapText="1"/>
    </xf>
    <xf numFmtId="0" fontId="0" fillId="6" borderId="0" xfId="0" applyFill="1" applyAlignment="1" applyProtection="1">
      <alignment horizontal="left" wrapText="1"/>
    </xf>
    <xf numFmtId="0" fontId="14" fillId="2" borderId="0" xfId="0" applyFont="1" applyFill="1" applyAlignment="1" applyProtection="1">
      <alignment horizontal="center" wrapText="1"/>
    </xf>
  </cellXfs>
  <cellStyles count="4">
    <cellStyle name="Comma" xfId="3" builtinId="3"/>
    <cellStyle name="Currency" xfId="1" builtinId="4"/>
    <cellStyle name="Normal" xfId="0" builtinId="0"/>
    <cellStyle name="Percent" xfId="2" builtinId="5"/>
  </cellStyles>
  <dxfs count="0"/>
  <tableStyles count="0" defaultTableStyle="TableStyleMedium2" defaultPivotStyle="PivotStyleLight16"/>
  <colors>
    <mruColors>
      <color rgb="FF979797"/>
      <color rgb="FFD9D9D6"/>
      <color rgb="FFC9EC5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10</xdr:col>
      <xdr:colOff>156211</xdr:colOff>
      <xdr:row>0</xdr:row>
      <xdr:rowOff>250541</xdr:rowOff>
    </xdr:from>
    <xdr:to>
      <xdr:col>12</xdr:col>
      <xdr:colOff>794385</xdr:colOff>
      <xdr:row>0</xdr:row>
      <xdr:rowOff>854498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01376" y="250541"/>
          <a:ext cx="1857374" cy="60395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19050</xdr:colOff>
          <xdr:row>10</xdr:row>
          <xdr:rowOff>171450</xdr:rowOff>
        </xdr:from>
        <xdr:to>
          <xdr:col>7</xdr:col>
          <xdr:colOff>266700</xdr:colOff>
          <xdr:row>12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Goal Seek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82"/>
  <sheetViews>
    <sheetView tabSelected="1" zoomScaleNormal="100" zoomScaleSheetLayoutView="100" workbookViewId="0">
      <selection activeCell="C14" sqref="C14"/>
    </sheetView>
  </sheetViews>
  <sheetFormatPr defaultColWidth="8.7109375" defaultRowHeight="15"/>
  <cols>
    <col min="1" max="1" width="6.28515625" style="15" customWidth="1"/>
    <col min="2" max="2" width="48.28515625" style="37" customWidth="1"/>
    <col min="3" max="3" width="26.42578125" style="15" customWidth="1"/>
    <col min="4" max="4" width="24.7109375" style="37" customWidth="1"/>
    <col min="5" max="5" width="6.5703125" style="15" customWidth="1"/>
    <col min="6" max="6" width="9" style="15" customWidth="1"/>
    <col min="7" max="7" width="13.7109375" style="15" bestFit="1" customWidth="1"/>
    <col min="8" max="12" width="8.7109375" style="15"/>
    <col min="13" max="13" width="14.7109375" style="15" customWidth="1"/>
    <col min="14" max="14" width="6.28515625" style="15" customWidth="1"/>
    <col min="15" max="32" width="9.28515625" style="13"/>
    <col min="33" max="36" width="9.28515625" style="11"/>
    <col min="37" max="16384" width="8.7109375" style="15"/>
  </cols>
  <sheetData>
    <row r="1" spans="1:32" s="11" customFormat="1" ht="79.5" customHeight="1">
      <c r="B1" s="53" t="s">
        <v>16</v>
      </c>
      <c r="C1" s="54"/>
      <c r="D1" s="54"/>
      <c r="E1" s="54"/>
      <c r="F1" s="54"/>
      <c r="G1" s="54"/>
      <c r="H1" s="54"/>
      <c r="I1" s="54"/>
      <c r="J1" s="54"/>
      <c r="K1" s="54"/>
      <c r="L1" s="54"/>
      <c r="M1" s="54"/>
      <c r="O1" s="13"/>
      <c r="P1" s="13"/>
      <c r="Q1" s="52">
        <f>+C12-D12</f>
        <v>-29661.481242166599</v>
      </c>
      <c r="R1" s="13"/>
      <c r="S1" s="13"/>
      <c r="T1" s="13"/>
      <c r="U1" s="13"/>
      <c r="V1" s="13"/>
      <c r="W1" s="13"/>
      <c r="X1" s="13"/>
      <c r="Y1" s="13"/>
      <c r="Z1" s="13"/>
      <c r="AA1" s="13"/>
      <c r="AB1" s="13"/>
      <c r="AC1" s="13"/>
      <c r="AD1" s="14">
        <f>+C12-D12</f>
        <v>-29661.481242166599</v>
      </c>
      <c r="AE1" s="13"/>
      <c r="AF1" s="13"/>
    </row>
    <row r="2" spans="1:32" ht="13.5" customHeight="1" thickBot="1">
      <c r="A2" s="11"/>
      <c r="B2" s="10"/>
      <c r="C2" s="11"/>
      <c r="D2" s="10"/>
      <c r="E2" s="11"/>
      <c r="F2" s="11"/>
      <c r="G2" s="11"/>
      <c r="H2" s="11"/>
      <c r="I2" s="11"/>
      <c r="J2" s="11"/>
      <c r="K2" s="11"/>
      <c r="L2" s="11"/>
      <c r="M2" s="11"/>
      <c r="N2" s="11"/>
    </row>
    <row r="3" spans="1:32" ht="30">
      <c r="A3" s="11"/>
      <c r="B3" s="1"/>
      <c r="C3" s="9" t="s">
        <v>8</v>
      </c>
      <c r="D3" s="7" t="s">
        <v>2</v>
      </c>
      <c r="E3" s="11"/>
      <c r="F3" s="57" t="s">
        <v>15</v>
      </c>
      <c r="G3" s="58"/>
      <c r="H3" s="58"/>
      <c r="I3" s="58"/>
      <c r="J3" s="58"/>
      <c r="K3" s="58"/>
      <c r="L3" s="58"/>
      <c r="M3" s="59"/>
      <c r="N3" s="11"/>
    </row>
    <row r="4" spans="1:32" ht="16.149999999999999" customHeight="1">
      <c r="A4" s="11"/>
      <c r="B4" s="2" t="s">
        <v>37</v>
      </c>
      <c r="C4" s="6">
        <f>D4</f>
        <v>500000</v>
      </c>
      <c r="D4" s="40">
        <v>500000</v>
      </c>
      <c r="E4" s="11"/>
      <c r="F4" s="16" t="s">
        <v>6</v>
      </c>
      <c r="G4" s="17"/>
      <c r="H4" s="17"/>
      <c r="I4" s="17"/>
      <c r="J4" s="17"/>
      <c r="K4" s="17"/>
      <c r="L4" s="17"/>
      <c r="M4" s="18"/>
      <c r="N4" s="11"/>
    </row>
    <row r="5" spans="1:32" ht="16.149999999999999" customHeight="1">
      <c r="A5" s="11"/>
      <c r="B5" s="3" t="s">
        <v>0</v>
      </c>
      <c r="C5" s="19">
        <f>-C4*C17</f>
        <v>-145775.00000000003</v>
      </c>
      <c r="D5" s="20">
        <v>0</v>
      </c>
      <c r="E5" s="11"/>
      <c r="F5" s="16" t="s">
        <v>40</v>
      </c>
      <c r="G5" s="17"/>
      <c r="H5" s="17"/>
      <c r="I5" s="17"/>
      <c r="J5" s="17"/>
      <c r="K5" s="17"/>
      <c r="L5" s="17"/>
      <c r="M5" s="18"/>
      <c r="N5" s="11"/>
    </row>
    <row r="6" spans="1:32" ht="16.149999999999999" customHeight="1">
      <c r="A6" s="11"/>
      <c r="B6" s="3" t="s">
        <v>27</v>
      </c>
      <c r="C6" s="21">
        <f>C4+C5</f>
        <v>354225</v>
      </c>
      <c r="D6" s="22">
        <f>D4+D5</f>
        <v>500000</v>
      </c>
      <c r="E6" s="11"/>
      <c r="F6" s="25" t="s">
        <v>41</v>
      </c>
      <c r="G6" s="50"/>
      <c r="H6" s="50"/>
      <c r="I6" s="50"/>
      <c r="J6" s="50"/>
      <c r="K6" s="50"/>
      <c r="L6" s="50"/>
      <c r="M6" s="51"/>
      <c r="N6" s="11"/>
    </row>
    <row r="7" spans="1:32" ht="16.149999999999999" customHeight="1">
      <c r="A7" s="11"/>
      <c r="B7" s="2" t="s">
        <v>36</v>
      </c>
      <c r="C7" s="46">
        <v>0.222</v>
      </c>
      <c r="D7" s="39">
        <v>0.14000000000000001</v>
      </c>
      <c r="E7" s="11"/>
      <c r="F7" s="16" t="s">
        <v>23</v>
      </c>
      <c r="G7" s="17"/>
      <c r="H7" s="17"/>
      <c r="I7" s="17"/>
      <c r="J7" s="17"/>
      <c r="K7" s="17"/>
      <c r="L7" s="17"/>
      <c r="M7" s="18"/>
      <c r="N7" s="11"/>
    </row>
    <row r="8" spans="1:32" ht="16.149999999999999" customHeight="1">
      <c r="A8" s="11"/>
      <c r="B8" s="3" t="s">
        <v>3</v>
      </c>
      <c r="C8" s="23">
        <f>FV(C7,10,0,-C6,1)</f>
        <v>2630215.1080080913</v>
      </c>
      <c r="D8" s="24">
        <f>FV(D7,10,0,-D6,1)</f>
        <v>1853610.6570592853</v>
      </c>
      <c r="E8" s="11"/>
      <c r="F8" s="16" t="s">
        <v>42</v>
      </c>
      <c r="G8" s="17"/>
      <c r="H8" s="17"/>
      <c r="I8" s="17"/>
      <c r="J8" s="17"/>
      <c r="K8" s="17"/>
      <c r="L8" s="17"/>
      <c r="M8" s="18"/>
      <c r="N8" s="11"/>
    </row>
    <row r="9" spans="1:32" ht="16.149999999999999" customHeight="1" thickBot="1">
      <c r="A9" s="11"/>
      <c r="B9" s="3" t="s">
        <v>4</v>
      </c>
      <c r="C9" s="23">
        <f>C8-C6</f>
        <v>2275990.1080080913</v>
      </c>
      <c r="D9" s="24">
        <f>D8-D6</f>
        <v>1353610.6570592853</v>
      </c>
      <c r="E9" s="11"/>
      <c r="F9" s="25" t="s">
        <v>30</v>
      </c>
      <c r="G9" s="26"/>
      <c r="H9" s="26"/>
      <c r="I9" s="26"/>
      <c r="J9" s="26"/>
      <c r="K9" s="26"/>
      <c r="L9" s="26"/>
      <c r="M9" s="27"/>
      <c r="N9" s="11"/>
    </row>
    <row r="10" spans="1:32" ht="16.149999999999999" customHeight="1" thickBot="1">
      <c r="A10" s="11"/>
      <c r="B10" s="3" t="s">
        <v>38</v>
      </c>
      <c r="C10" s="23">
        <v>0</v>
      </c>
      <c r="D10" s="28">
        <f>-D4*D17*90%</f>
        <v>-198697.49999999997</v>
      </c>
      <c r="E10" s="29"/>
      <c r="F10" s="47"/>
      <c r="G10" s="48"/>
      <c r="H10" s="48"/>
      <c r="I10" s="48"/>
      <c r="J10" s="48"/>
      <c r="K10" s="48"/>
      <c r="L10" s="48"/>
      <c r="M10" s="49"/>
      <c r="N10" s="29"/>
    </row>
    <row r="11" spans="1:32" ht="16.149999999999999" customHeight="1">
      <c r="A11" s="11"/>
      <c r="B11" s="3" t="s">
        <v>7</v>
      </c>
      <c r="C11" s="30">
        <f>-C9*D17</f>
        <v>-1004963.4321909726</v>
      </c>
      <c r="D11" s="31">
        <v>0</v>
      </c>
      <c r="E11" s="11"/>
      <c r="F11" s="11"/>
      <c r="G11" s="11"/>
      <c r="H11" s="11"/>
      <c r="I11" s="11"/>
      <c r="J11" s="11"/>
      <c r="K11" s="11"/>
      <c r="L11" s="11"/>
      <c r="M11" s="11"/>
      <c r="N11" s="11"/>
    </row>
    <row r="12" spans="1:32" ht="23.25" customHeight="1">
      <c r="A12" s="11"/>
      <c r="B12" s="2" t="s">
        <v>1</v>
      </c>
      <c r="C12" s="32">
        <f>C8+C11+C10</f>
        <v>1625251.6758171187</v>
      </c>
      <c r="D12" s="33">
        <f>D8+D11+D10</f>
        <v>1654913.1570592853</v>
      </c>
      <c r="E12" s="11"/>
      <c r="F12" s="11"/>
      <c r="G12" s="11"/>
      <c r="H12" s="11"/>
      <c r="I12" s="11"/>
      <c r="J12" s="11"/>
      <c r="K12" s="11"/>
      <c r="L12" s="11"/>
      <c r="M12" s="11"/>
      <c r="N12" s="11"/>
    </row>
    <row r="13" spans="1:32" ht="23.25" customHeight="1">
      <c r="A13" s="11"/>
      <c r="B13" s="41"/>
      <c r="C13" s="42" t="s">
        <v>28</v>
      </c>
      <c r="D13" s="43" t="s">
        <v>29</v>
      </c>
      <c r="E13" s="11"/>
      <c r="F13" s="11"/>
      <c r="G13" s="11"/>
      <c r="H13" s="11"/>
      <c r="I13" s="11"/>
      <c r="J13" s="11"/>
      <c r="K13" s="11"/>
      <c r="L13" s="11"/>
      <c r="M13" s="11"/>
      <c r="N13" s="11"/>
    </row>
    <row r="14" spans="1:32" ht="16.149999999999999" customHeight="1">
      <c r="A14" s="11"/>
      <c r="B14" s="8" t="s">
        <v>34</v>
      </c>
      <c r="C14" s="38">
        <v>0.2</v>
      </c>
      <c r="D14" s="44">
        <v>0.35</v>
      </c>
      <c r="E14" s="11"/>
      <c r="F14" s="11"/>
      <c r="G14" s="11"/>
      <c r="H14" s="11"/>
      <c r="I14" s="11"/>
      <c r="J14" s="11"/>
      <c r="K14" s="11"/>
      <c r="L14" s="11"/>
      <c r="M14" s="11"/>
      <c r="N14" s="11"/>
    </row>
    <row r="15" spans="1:32" ht="16.149999999999999" customHeight="1">
      <c r="A15" s="11"/>
      <c r="B15" s="8" t="s">
        <v>33</v>
      </c>
      <c r="C15" s="38">
        <v>3.7999999999999999E-2</v>
      </c>
      <c r="D15" s="44">
        <v>3.7999999999999999E-2</v>
      </c>
      <c r="E15" s="11"/>
      <c r="F15" s="11"/>
      <c r="G15" s="11"/>
      <c r="H15" s="11"/>
      <c r="I15" s="11"/>
      <c r="J15" s="11"/>
      <c r="K15" s="11"/>
      <c r="L15" s="11"/>
      <c r="M15" s="11"/>
      <c r="N15" s="11"/>
    </row>
    <row r="16" spans="1:32" ht="16.149999999999999" customHeight="1">
      <c r="A16" s="11"/>
      <c r="B16" s="8" t="s">
        <v>35</v>
      </c>
      <c r="C16" s="38">
        <f>0.0765*0.7</f>
        <v>5.3549999999999993E-2</v>
      </c>
      <c r="D16" s="44">
        <f>0.0765*0.7</f>
        <v>5.3549999999999993E-2</v>
      </c>
      <c r="E16" s="11"/>
      <c r="F16" s="11"/>
      <c r="G16" s="11"/>
      <c r="H16" s="11"/>
      <c r="I16" s="11"/>
      <c r="J16" s="11"/>
      <c r="K16" s="11"/>
      <c r="L16" s="11"/>
      <c r="M16" s="11"/>
      <c r="N16" s="11"/>
    </row>
    <row r="17" spans="1:32" ht="22.5" customHeight="1" thickBot="1">
      <c r="A17" s="11"/>
      <c r="B17" s="4" t="s">
        <v>5</v>
      </c>
      <c r="C17" s="5">
        <f>SUM(C14:C16)</f>
        <v>0.29155000000000003</v>
      </c>
      <c r="D17" s="45">
        <f>SUM(D14:D16)</f>
        <v>0.44154999999999994</v>
      </c>
      <c r="E17" s="11"/>
      <c r="F17" s="11"/>
      <c r="G17" s="11"/>
      <c r="H17" s="11"/>
      <c r="I17" s="11"/>
      <c r="J17" s="11"/>
      <c r="K17" s="11"/>
      <c r="L17" s="11"/>
      <c r="M17" s="11"/>
      <c r="N17" s="11"/>
    </row>
    <row r="18" spans="1:32">
      <c r="A18" s="11"/>
      <c r="B18" s="10"/>
      <c r="C18" s="34"/>
      <c r="D18" s="35"/>
      <c r="E18" s="11"/>
      <c r="F18" s="11"/>
      <c r="G18" s="11"/>
      <c r="H18" s="11"/>
      <c r="I18" s="11"/>
      <c r="J18" s="11"/>
      <c r="K18" s="11"/>
      <c r="L18" s="11"/>
      <c r="M18" s="11"/>
      <c r="N18" s="11"/>
    </row>
    <row r="19" spans="1:32" ht="35.25" customHeight="1">
      <c r="A19" s="11"/>
      <c r="B19" s="60" t="s">
        <v>39</v>
      </c>
      <c r="C19" s="60"/>
      <c r="D19" s="60"/>
      <c r="E19" s="60"/>
      <c r="F19" s="60"/>
      <c r="G19" s="60"/>
      <c r="H19" s="60"/>
      <c r="I19" s="60"/>
      <c r="J19" s="60"/>
      <c r="K19" s="60"/>
      <c r="L19" s="60"/>
      <c r="M19" s="60"/>
      <c r="N19" s="11"/>
    </row>
    <row r="20" spans="1:32" ht="7.5" customHeight="1">
      <c r="A20" s="11"/>
      <c r="B20" s="10"/>
      <c r="C20" s="34"/>
      <c r="D20" s="35"/>
      <c r="E20" s="11"/>
      <c r="F20" s="11"/>
      <c r="G20" s="11"/>
      <c r="H20" s="11"/>
      <c r="I20" s="11"/>
      <c r="J20" s="11"/>
      <c r="K20" s="11"/>
      <c r="L20" s="11"/>
      <c r="M20" s="11"/>
      <c r="N20" s="11"/>
    </row>
    <row r="21" spans="1:32" s="11" customFormat="1" ht="15.75">
      <c r="B21" s="56" t="s">
        <v>9</v>
      </c>
      <c r="C21" s="56"/>
      <c r="D21" s="56"/>
      <c r="O21" s="13"/>
      <c r="P21" s="13"/>
      <c r="Q21" s="13"/>
      <c r="R21" s="13"/>
      <c r="S21" s="13"/>
      <c r="T21" s="13"/>
      <c r="U21" s="13"/>
      <c r="V21" s="13"/>
      <c r="W21" s="13"/>
      <c r="X21" s="13"/>
      <c r="Y21" s="13"/>
      <c r="Z21" s="13"/>
      <c r="AA21" s="13"/>
      <c r="AB21" s="13"/>
      <c r="AC21" s="13"/>
      <c r="AD21" s="13"/>
      <c r="AE21" s="13"/>
      <c r="AF21" s="13"/>
    </row>
    <row r="22" spans="1:32" s="11" customFormat="1">
      <c r="B22" s="60" t="s">
        <v>14</v>
      </c>
      <c r="C22" s="60"/>
      <c r="D22" s="60"/>
      <c r="O22" s="13"/>
      <c r="P22" s="13"/>
      <c r="Q22" s="13"/>
      <c r="R22" s="13"/>
      <c r="S22" s="13"/>
      <c r="T22" s="13"/>
      <c r="U22" s="13"/>
      <c r="V22" s="13"/>
      <c r="W22" s="13"/>
      <c r="X22" s="13"/>
      <c r="Y22" s="13"/>
      <c r="Z22" s="13"/>
      <c r="AA22" s="13"/>
      <c r="AB22" s="13"/>
      <c r="AC22" s="13"/>
      <c r="AD22" s="13"/>
      <c r="AE22" s="13"/>
      <c r="AF22" s="13"/>
    </row>
    <row r="23" spans="1:32" s="11" customFormat="1">
      <c r="B23" s="60" t="s">
        <v>10</v>
      </c>
      <c r="C23" s="60"/>
      <c r="D23" s="60"/>
      <c r="O23" s="13"/>
      <c r="P23" s="13"/>
      <c r="Q23" s="13"/>
      <c r="R23" s="13"/>
      <c r="S23" s="13"/>
      <c r="T23" s="13"/>
      <c r="U23" s="13"/>
      <c r="V23" s="13"/>
      <c r="W23" s="13"/>
      <c r="X23" s="13"/>
      <c r="Y23" s="13"/>
      <c r="Z23" s="13"/>
      <c r="AA23" s="13"/>
      <c r="AB23" s="13"/>
      <c r="AC23" s="13"/>
      <c r="AD23" s="13"/>
      <c r="AE23" s="13"/>
      <c r="AF23" s="13"/>
    </row>
    <row r="24" spans="1:32" s="11" customFormat="1" ht="16.5" customHeight="1">
      <c r="B24" s="60" t="s">
        <v>31</v>
      </c>
      <c r="C24" s="60"/>
      <c r="D24" s="60"/>
      <c r="E24" s="60"/>
      <c r="F24" s="60"/>
      <c r="G24" s="60"/>
      <c r="H24" s="60"/>
      <c r="I24" s="60"/>
      <c r="J24" s="60"/>
      <c r="K24" s="60"/>
      <c r="L24" s="60"/>
      <c r="M24" s="60"/>
      <c r="O24" s="13"/>
      <c r="P24" s="13"/>
      <c r="Q24" s="13"/>
      <c r="R24" s="13"/>
      <c r="S24" s="13"/>
      <c r="T24" s="13"/>
      <c r="U24" s="13"/>
      <c r="V24" s="13"/>
      <c r="W24" s="13"/>
      <c r="X24" s="13"/>
      <c r="Y24" s="13"/>
      <c r="Z24" s="13"/>
      <c r="AA24" s="13"/>
      <c r="AB24" s="13"/>
      <c r="AC24" s="13"/>
      <c r="AD24" s="13"/>
      <c r="AE24" s="13"/>
      <c r="AF24" s="13"/>
    </row>
    <row r="25" spans="1:32" s="11" customFormat="1" ht="15.6" customHeight="1">
      <c r="B25" s="60" t="s">
        <v>32</v>
      </c>
      <c r="C25" s="60"/>
      <c r="D25" s="60"/>
      <c r="E25" s="60"/>
      <c r="F25" s="60"/>
      <c r="G25" s="60"/>
      <c r="H25" s="60"/>
      <c r="I25" s="60"/>
      <c r="J25" s="60"/>
      <c r="K25" s="60"/>
      <c r="L25" s="60"/>
      <c r="M25" s="60"/>
      <c r="O25" s="13"/>
      <c r="P25" s="13"/>
      <c r="Q25" s="13"/>
      <c r="R25" s="13"/>
      <c r="S25" s="13"/>
      <c r="T25" s="13"/>
      <c r="U25" s="13"/>
      <c r="V25" s="13"/>
      <c r="W25" s="13"/>
      <c r="X25" s="13"/>
      <c r="Y25" s="13"/>
      <c r="Z25" s="13"/>
      <c r="AA25" s="13"/>
      <c r="AB25" s="13"/>
      <c r="AC25" s="13"/>
      <c r="AD25" s="13"/>
      <c r="AE25" s="13"/>
      <c r="AF25" s="13"/>
    </row>
    <row r="26" spans="1:32" s="11" customFormat="1" ht="15.6" customHeight="1">
      <c r="B26" s="60"/>
      <c r="C26" s="60"/>
      <c r="D26" s="60"/>
      <c r="E26" s="60"/>
      <c r="F26" s="60"/>
      <c r="G26" s="60"/>
      <c r="H26" s="60"/>
      <c r="I26" s="60"/>
      <c r="J26" s="60"/>
      <c r="K26" s="60"/>
      <c r="L26" s="60"/>
      <c r="M26" s="60"/>
      <c r="O26" s="13"/>
      <c r="P26" s="13"/>
      <c r="Q26" s="13"/>
      <c r="R26" s="13"/>
      <c r="S26" s="13"/>
      <c r="T26" s="13"/>
      <c r="U26" s="13"/>
      <c r="V26" s="13"/>
      <c r="W26" s="13"/>
      <c r="X26" s="13"/>
      <c r="Y26" s="13"/>
      <c r="Z26" s="13"/>
      <c r="AA26" s="13"/>
      <c r="AB26" s="13"/>
      <c r="AC26" s="13"/>
      <c r="AD26" s="13"/>
      <c r="AE26" s="13"/>
      <c r="AF26" s="13"/>
    </row>
    <row r="27" spans="1:32" s="11" customFormat="1" ht="15.6" customHeight="1">
      <c r="B27" s="60" t="s">
        <v>17</v>
      </c>
      <c r="C27" s="60"/>
      <c r="D27" s="60"/>
      <c r="E27" s="60"/>
      <c r="F27" s="60"/>
      <c r="G27" s="60"/>
      <c r="H27" s="60"/>
      <c r="I27" s="60"/>
      <c r="J27" s="60"/>
      <c r="K27" s="60"/>
      <c r="L27" s="12"/>
      <c r="M27" s="12"/>
      <c r="O27" s="13"/>
      <c r="P27" s="13"/>
      <c r="Q27" s="13"/>
      <c r="R27" s="13"/>
      <c r="S27" s="13"/>
      <c r="T27" s="13"/>
      <c r="U27" s="13"/>
      <c r="V27" s="13"/>
      <c r="W27" s="13"/>
      <c r="X27" s="13"/>
      <c r="Y27" s="13"/>
      <c r="Z27" s="13"/>
      <c r="AA27" s="13"/>
      <c r="AB27" s="13"/>
      <c r="AC27" s="13"/>
      <c r="AD27" s="13"/>
      <c r="AE27" s="13"/>
      <c r="AF27" s="13"/>
    </row>
    <row r="28" spans="1:32" s="11" customFormat="1">
      <c r="B28" s="10"/>
      <c r="D28" s="10"/>
      <c r="O28" s="13"/>
      <c r="P28" s="13"/>
      <c r="Q28" s="13"/>
      <c r="R28" s="13"/>
      <c r="S28" s="13"/>
      <c r="T28" s="13"/>
      <c r="U28" s="13"/>
      <c r="V28" s="13"/>
      <c r="W28" s="13"/>
      <c r="X28" s="13"/>
      <c r="Y28" s="13"/>
      <c r="Z28" s="13"/>
      <c r="AA28" s="13"/>
      <c r="AB28" s="13"/>
      <c r="AC28" s="13"/>
      <c r="AD28" s="13"/>
      <c r="AE28" s="13"/>
      <c r="AF28" s="13"/>
    </row>
    <row r="29" spans="1:32" s="11" customFormat="1" ht="15.75">
      <c r="B29" s="56" t="s">
        <v>11</v>
      </c>
      <c r="C29" s="56"/>
      <c r="D29" s="56"/>
      <c r="O29" s="13"/>
      <c r="P29" s="13"/>
      <c r="Q29" s="13"/>
      <c r="R29" s="13"/>
      <c r="S29" s="13"/>
      <c r="T29" s="13"/>
      <c r="U29" s="13"/>
      <c r="V29" s="13"/>
      <c r="W29" s="13"/>
      <c r="X29" s="13"/>
      <c r="Y29" s="13"/>
      <c r="Z29" s="13"/>
      <c r="AA29" s="13"/>
      <c r="AB29" s="13"/>
      <c r="AC29" s="13"/>
      <c r="AD29" s="13"/>
      <c r="AE29" s="13"/>
      <c r="AF29" s="13"/>
    </row>
    <row r="30" spans="1:32" s="11" customFormat="1">
      <c r="B30" s="55" t="s">
        <v>12</v>
      </c>
      <c r="C30" s="55"/>
      <c r="D30" s="55"/>
      <c r="E30" s="55"/>
      <c r="F30" s="55"/>
      <c r="G30" s="55"/>
      <c r="H30" s="55"/>
      <c r="I30" s="55"/>
      <c r="J30" s="55"/>
      <c r="K30" s="55"/>
      <c r="L30" s="55"/>
      <c r="M30" s="55"/>
      <c r="O30" s="13"/>
      <c r="P30" s="13"/>
      <c r="Q30" s="13"/>
      <c r="R30" s="13"/>
      <c r="S30" s="13"/>
      <c r="T30" s="13"/>
      <c r="U30" s="13"/>
      <c r="V30" s="13"/>
      <c r="W30" s="13"/>
      <c r="X30" s="13"/>
      <c r="Y30" s="13"/>
      <c r="Z30" s="13"/>
      <c r="AA30" s="13"/>
      <c r="AB30" s="13"/>
      <c r="AC30" s="13"/>
      <c r="AD30" s="13"/>
      <c r="AE30" s="13"/>
      <c r="AF30" s="13"/>
    </row>
    <row r="31" spans="1:32" s="11" customFormat="1">
      <c r="B31" s="55" t="s">
        <v>13</v>
      </c>
      <c r="C31" s="55"/>
      <c r="D31" s="55"/>
      <c r="O31" s="13"/>
      <c r="P31" s="13"/>
      <c r="Q31" s="13"/>
      <c r="R31" s="13"/>
      <c r="S31" s="13"/>
      <c r="T31" s="13"/>
      <c r="U31" s="13"/>
      <c r="V31" s="13"/>
      <c r="W31" s="13"/>
      <c r="X31" s="13"/>
      <c r="Y31" s="13"/>
      <c r="Z31" s="13"/>
      <c r="AA31" s="13"/>
      <c r="AB31" s="13"/>
      <c r="AC31" s="13"/>
      <c r="AD31" s="13"/>
      <c r="AE31" s="13"/>
      <c r="AF31" s="13"/>
    </row>
    <row r="32" spans="1:32" s="11" customFormat="1" ht="16.5" customHeight="1">
      <c r="B32" s="55" t="s">
        <v>18</v>
      </c>
      <c r="C32" s="55"/>
      <c r="D32" s="55"/>
      <c r="E32" s="55"/>
      <c r="F32" s="55"/>
      <c r="G32" s="55"/>
      <c r="H32" s="55"/>
      <c r="I32" s="55"/>
      <c r="J32" s="55"/>
      <c r="K32" s="55"/>
      <c r="L32" s="55"/>
      <c r="M32" s="55"/>
      <c r="O32" s="13"/>
      <c r="P32" s="13"/>
      <c r="Q32" s="13"/>
      <c r="R32" s="13"/>
      <c r="S32" s="13"/>
      <c r="T32" s="13"/>
      <c r="U32" s="13"/>
      <c r="V32" s="13"/>
      <c r="W32" s="13"/>
      <c r="X32" s="13"/>
      <c r="Y32" s="13"/>
      <c r="Z32" s="13"/>
      <c r="AA32" s="13"/>
      <c r="AB32" s="13"/>
      <c r="AC32" s="13"/>
      <c r="AD32" s="13"/>
      <c r="AE32" s="13"/>
      <c r="AF32" s="13"/>
    </row>
    <row r="33" spans="2:32" s="11" customFormat="1">
      <c r="B33" s="55" t="s">
        <v>19</v>
      </c>
      <c r="C33" s="55"/>
      <c r="D33" s="55"/>
      <c r="E33" s="55"/>
      <c r="F33" s="55"/>
      <c r="G33" s="55"/>
      <c r="H33" s="55"/>
      <c r="I33" s="55"/>
      <c r="J33" s="55"/>
      <c r="K33" s="55"/>
      <c r="L33" s="55"/>
      <c r="M33" s="55"/>
      <c r="O33" s="13"/>
      <c r="P33" s="13"/>
      <c r="Q33" s="13"/>
      <c r="R33" s="13"/>
      <c r="S33" s="13"/>
      <c r="T33" s="13"/>
      <c r="U33" s="13"/>
      <c r="V33" s="13"/>
      <c r="W33" s="13"/>
      <c r="X33" s="13"/>
      <c r="Y33" s="13"/>
      <c r="Z33" s="13"/>
      <c r="AA33" s="13"/>
      <c r="AB33" s="13"/>
      <c r="AC33" s="13"/>
      <c r="AD33" s="13"/>
      <c r="AE33" s="13"/>
      <c r="AF33" s="13"/>
    </row>
    <row r="34" spans="2:32" s="11" customFormat="1">
      <c r="B34" s="10"/>
      <c r="D34" s="10"/>
      <c r="O34" s="13"/>
      <c r="P34" s="13"/>
      <c r="Q34" s="13"/>
      <c r="R34" s="13"/>
      <c r="S34" s="13"/>
      <c r="T34" s="13"/>
      <c r="U34" s="13"/>
      <c r="V34" s="13"/>
      <c r="W34" s="13"/>
      <c r="X34" s="13"/>
      <c r="Y34" s="13"/>
      <c r="Z34" s="13"/>
      <c r="AA34" s="13"/>
      <c r="AB34" s="13"/>
      <c r="AC34" s="13"/>
      <c r="AD34" s="13"/>
      <c r="AE34" s="13"/>
      <c r="AF34" s="13"/>
    </row>
    <row r="35" spans="2:32" s="11" customFormat="1" ht="15.75">
      <c r="B35" s="56" t="s">
        <v>20</v>
      </c>
      <c r="C35" s="56"/>
      <c r="D35" s="56"/>
      <c r="O35" s="13"/>
      <c r="P35" s="13"/>
      <c r="Q35" s="13"/>
      <c r="R35" s="13"/>
      <c r="S35" s="13"/>
      <c r="T35" s="13"/>
      <c r="U35" s="13"/>
      <c r="V35" s="13"/>
      <c r="W35" s="13"/>
      <c r="X35" s="13"/>
      <c r="Y35" s="13"/>
      <c r="Z35" s="13"/>
      <c r="AA35" s="13"/>
      <c r="AB35" s="13"/>
      <c r="AC35" s="13"/>
      <c r="AD35" s="13"/>
      <c r="AE35" s="13"/>
      <c r="AF35" s="13"/>
    </row>
    <row r="36" spans="2:32" s="11" customFormat="1">
      <c r="B36" s="60" t="s">
        <v>24</v>
      </c>
      <c r="C36" s="60"/>
      <c r="D36" s="60"/>
      <c r="E36" s="60"/>
      <c r="F36" s="60"/>
      <c r="G36" s="60"/>
      <c r="H36" s="60"/>
      <c r="I36" s="60"/>
      <c r="J36" s="60"/>
      <c r="K36" s="60"/>
      <c r="L36" s="60"/>
      <c r="M36" s="60"/>
      <c r="O36" s="13"/>
      <c r="P36" s="13"/>
      <c r="Q36" s="13"/>
      <c r="R36" s="13"/>
      <c r="S36" s="13"/>
      <c r="T36" s="13"/>
      <c r="U36" s="13"/>
      <c r="V36" s="13"/>
      <c r="W36" s="13"/>
      <c r="X36" s="13"/>
      <c r="Y36" s="13"/>
      <c r="Z36" s="13"/>
      <c r="AA36" s="13"/>
      <c r="AB36" s="13"/>
      <c r="AC36" s="13"/>
      <c r="AD36" s="13"/>
      <c r="AE36" s="13"/>
      <c r="AF36" s="13"/>
    </row>
    <row r="37" spans="2:32" s="11" customFormat="1">
      <c r="B37" s="60" t="s">
        <v>25</v>
      </c>
      <c r="C37" s="60"/>
      <c r="D37" s="60"/>
      <c r="E37" s="60"/>
      <c r="F37" s="60"/>
      <c r="G37" s="60"/>
      <c r="H37" s="60"/>
      <c r="I37" s="60"/>
      <c r="J37" s="60"/>
      <c r="K37" s="60"/>
      <c r="L37" s="60"/>
      <c r="M37" s="60"/>
      <c r="O37" s="13"/>
      <c r="P37" s="13"/>
      <c r="Q37" s="13"/>
      <c r="R37" s="13"/>
      <c r="S37" s="13"/>
      <c r="T37" s="13"/>
      <c r="U37" s="13"/>
      <c r="V37" s="13"/>
      <c r="W37" s="13"/>
      <c r="X37" s="13"/>
      <c r="Y37" s="13"/>
      <c r="Z37" s="13"/>
      <c r="AA37" s="13"/>
      <c r="AB37" s="13"/>
      <c r="AC37" s="13"/>
      <c r="AD37" s="13"/>
      <c r="AE37" s="13"/>
      <c r="AF37" s="13"/>
    </row>
    <row r="38" spans="2:32" s="11" customFormat="1">
      <c r="B38" s="60" t="s">
        <v>26</v>
      </c>
      <c r="C38" s="60"/>
      <c r="D38" s="60"/>
      <c r="E38" s="60"/>
      <c r="F38" s="60"/>
      <c r="G38" s="60"/>
      <c r="H38" s="60"/>
      <c r="I38" s="60"/>
      <c r="J38" s="60"/>
      <c r="K38" s="60"/>
      <c r="L38" s="60"/>
      <c r="M38" s="60"/>
      <c r="O38" s="13"/>
      <c r="P38" s="13"/>
      <c r="Q38" s="13"/>
      <c r="R38" s="13"/>
      <c r="S38" s="13"/>
      <c r="T38" s="13"/>
      <c r="U38" s="13"/>
      <c r="V38" s="13"/>
      <c r="W38" s="13"/>
      <c r="X38" s="13"/>
      <c r="Y38" s="13"/>
      <c r="Z38" s="13"/>
      <c r="AA38" s="13"/>
      <c r="AB38" s="13"/>
      <c r="AC38" s="13"/>
      <c r="AD38" s="13"/>
      <c r="AE38" s="13"/>
      <c r="AF38" s="13"/>
    </row>
    <row r="39" spans="2:32" s="11" customFormat="1" ht="51" customHeight="1">
      <c r="B39" s="60" t="s">
        <v>21</v>
      </c>
      <c r="C39" s="60"/>
      <c r="D39" s="60"/>
      <c r="E39" s="60"/>
      <c r="F39" s="60"/>
      <c r="G39" s="60"/>
      <c r="H39" s="60"/>
      <c r="I39" s="60"/>
      <c r="J39" s="60"/>
      <c r="K39" s="60"/>
      <c r="L39" s="60"/>
      <c r="M39" s="60"/>
      <c r="O39" s="13"/>
      <c r="P39" s="13"/>
      <c r="Q39" s="13"/>
      <c r="R39" s="13"/>
      <c r="S39" s="13"/>
      <c r="T39" s="13"/>
      <c r="U39" s="13"/>
      <c r="V39" s="13"/>
      <c r="W39" s="13"/>
      <c r="X39" s="13"/>
      <c r="Y39" s="13"/>
      <c r="Z39" s="13"/>
      <c r="AA39" s="13"/>
      <c r="AB39" s="13"/>
      <c r="AC39" s="13"/>
      <c r="AD39" s="13"/>
      <c r="AE39" s="13"/>
      <c r="AF39" s="13"/>
    </row>
    <row r="40" spans="2:32" s="11" customFormat="1">
      <c r="B40" s="61"/>
      <c r="C40" s="61"/>
      <c r="D40" s="61"/>
      <c r="E40" s="61"/>
      <c r="F40" s="61"/>
      <c r="G40" s="61"/>
      <c r="H40" s="61"/>
      <c r="I40" s="61"/>
      <c r="J40" s="61"/>
      <c r="K40" s="61"/>
      <c r="L40" s="61"/>
      <c r="M40" s="61"/>
      <c r="O40" s="13"/>
      <c r="P40" s="13"/>
      <c r="Q40" s="13"/>
      <c r="R40" s="13"/>
      <c r="S40" s="13"/>
      <c r="T40" s="13"/>
      <c r="U40" s="13"/>
      <c r="V40" s="13"/>
      <c r="W40" s="13"/>
      <c r="X40" s="13"/>
      <c r="Y40" s="13"/>
      <c r="Z40" s="13"/>
      <c r="AA40" s="13"/>
      <c r="AB40" s="13"/>
      <c r="AC40" s="13"/>
      <c r="AD40" s="13"/>
      <c r="AE40" s="13"/>
      <c r="AF40" s="13"/>
    </row>
    <row r="41" spans="2:32" s="11" customFormat="1" ht="15" customHeight="1">
      <c r="B41" s="63" t="s">
        <v>22</v>
      </c>
      <c r="C41" s="63"/>
      <c r="D41" s="63"/>
      <c r="E41" s="63"/>
      <c r="F41" s="63"/>
      <c r="G41" s="63"/>
      <c r="H41" s="63"/>
      <c r="I41" s="63"/>
      <c r="J41" s="63"/>
      <c r="K41" s="63"/>
      <c r="L41" s="63"/>
      <c r="M41" s="63"/>
      <c r="O41" s="13"/>
      <c r="P41" s="13"/>
      <c r="Q41" s="13"/>
      <c r="R41" s="13"/>
      <c r="S41" s="13"/>
      <c r="T41" s="13"/>
      <c r="U41" s="13"/>
      <c r="V41" s="13"/>
      <c r="W41" s="13"/>
      <c r="X41" s="13"/>
      <c r="Y41" s="13"/>
      <c r="Z41" s="13"/>
      <c r="AA41" s="13"/>
      <c r="AB41" s="13"/>
      <c r="AC41" s="13"/>
      <c r="AD41" s="13"/>
      <c r="AE41" s="13"/>
      <c r="AF41" s="13"/>
    </row>
    <row r="42" spans="2:32" s="11" customFormat="1">
      <c r="B42" s="61"/>
      <c r="C42" s="61"/>
      <c r="D42" s="61"/>
      <c r="E42" s="61"/>
      <c r="F42" s="61"/>
      <c r="G42" s="61"/>
      <c r="H42" s="61"/>
      <c r="I42" s="61"/>
      <c r="J42" s="61"/>
      <c r="K42" s="61"/>
      <c r="L42" s="61"/>
      <c r="M42" s="61"/>
      <c r="O42" s="13"/>
      <c r="P42" s="13"/>
      <c r="Q42" s="13"/>
      <c r="R42" s="13"/>
      <c r="S42" s="13"/>
      <c r="T42" s="13"/>
      <c r="U42" s="13"/>
      <c r="V42" s="13"/>
      <c r="W42" s="13"/>
      <c r="X42" s="13"/>
      <c r="Y42" s="13"/>
      <c r="Z42" s="13"/>
      <c r="AA42" s="13"/>
      <c r="AB42" s="13"/>
      <c r="AC42" s="13"/>
      <c r="AD42" s="13"/>
      <c r="AE42" s="13"/>
      <c r="AF42" s="13"/>
    </row>
    <row r="43" spans="2:32" s="11" customFormat="1">
      <c r="B43" s="61"/>
      <c r="C43" s="61"/>
      <c r="D43" s="61"/>
      <c r="E43" s="61"/>
      <c r="F43" s="61"/>
      <c r="G43" s="61"/>
      <c r="H43" s="61"/>
      <c r="I43" s="61"/>
      <c r="J43" s="61"/>
      <c r="K43" s="61"/>
      <c r="L43" s="61"/>
      <c r="M43" s="61"/>
      <c r="O43" s="13"/>
      <c r="P43" s="13"/>
      <c r="Q43" s="13"/>
      <c r="R43" s="13"/>
      <c r="S43" s="13"/>
      <c r="T43" s="13"/>
      <c r="U43" s="13"/>
      <c r="V43" s="13"/>
      <c r="W43" s="13"/>
      <c r="X43" s="13"/>
      <c r="Y43" s="13"/>
      <c r="Z43" s="13"/>
      <c r="AA43" s="13"/>
      <c r="AB43" s="13"/>
      <c r="AC43" s="13"/>
      <c r="AD43" s="13"/>
      <c r="AE43" s="13"/>
      <c r="AF43" s="13"/>
    </row>
    <row r="44" spans="2:32" s="13" customFormat="1">
      <c r="B44" s="62"/>
      <c r="C44" s="62"/>
      <c r="D44" s="62"/>
      <c r="E44" s="62"/>
      <c r="F44" s="62"/>
      <c r="G44" s="62"/>
      <c r="H44" s="62"/>
      <c r="I44" s="62"/>
      <c r="J44" s="62"/>
      <c r="K44" s="62"/>
      <c r="L44" s="62"/>
      <c r="M44" s="62"/>
    </row>
    <row r="45" spans="2:32" s="13" customFormat="1">
      <c r="B45" s="36"/>
      <c r="D45" s="36"/>
    </row>
    <row r="46" spans="2:32" s="13" customFormat="1">
      <c r="B46" s="36"/>
      <c r="D46" s="36"/>
    </row>
    <row r="47" spans="2:32" s="13" customFormat="1">
      <c r="B47" s="36"/>
      <c r="D47" s="36"/>
    </row>
    <row r="48" spans="2:32" s="13" customFormat="1">
      <c r="B48" s="36"/>
      <c r="D48" s="36"/>
    </row>
    <row r="49" spans="2:4" s="13" customFormat="1">
      <c r="B49" s="36"/>
      <c r="D49" s="36"/>
    </row>
    <row r="50" spans="2:4" s="13" customFormat="1">
      <c r="B50" s="36"/>
      <c r="D50" s="36"/>
    </row>
    <row r="51" spans="2:4" s="13" customFormat="1">
      <c r="B51" s="36"/>
      <c r="D51" s="36"/>
    </row>
    <row r="52" spans="2:4" s="13" customFormat="1">
      <c r="B52" s="36"/>
      <c r="D52" s="36"/>
    </row>
    <row r="53" spans="2:4" s="13" customFormat="1">
      <c r="B53" s="36"/>
      <c r="D53" s="36"/>
    </row>
    <row r="54" spans="2:4" s="13" customFormat="1">
      <c r="B54" s="36"/>
      <c r="D54" s="36"/>
    </row>
    <row r="55" spans="2:4" s="13" customFormat="1">
      <c r="B55" s="36"/>
      <c r="D55" s="36"/>
    </row>
    <row r="56" spans="2:4" s="13" customFormat="1">
      <c r="B56" s="36"/>
      <c r="D56" s="36"/>
    </row>
    <row r="57" spans="2:4" s="13" customFormat="1">
      <c r="B57" s="36"/>
      <c r="D57" s="36"/>
    </row>
    <row r="58" spans="2:4" s="13" customFormat="1">
      <c r="B58" s="36"/>
      <c r="D58" s="36"/>
    </row>
    <row r="59" spans="2:4" s="13" customFormat="1">
      <c r="B59" s="36"/>
      <c r="D59" s="36"/>
    </row>
    <row r="60" spans="2:4" s="13" customFormat="1">
      <c r="B60" s="36"/>
      <c r="D60" s="36"/>
    </row>
    <row r="61" spans="2:4" s="13" customFormat="1">
      <c r="B61" s="36"/>
      <c r="D61" s="36"/>
    </row>
    <row r="62" spans="2:4" s="13" customFormat="1">
      <c r="B62" s="36"/>
      <c r="D62" s="36"/>
    </row>
    <row r="63" spans="2:4" s="13" customFormat="1">
      <c r="B63" s="36"/>
      <c r="D63" s="36"/>
    </row>
    <row r="64" spans="2:4" s="13" customFormat="1">
      <c r="B64" s="36"/>
      <c r="D64" s="36"/>
    </row>
    <row r="65" spans="2:4" s="13" customFormat="1">
      <c r="B65" s="36"/>
      <c r="D65" s="36"/>
    </row>
    <row r="66" spans="2:4" s="13" customFormat="1">
      <c r="B66" s="36"/>
      <c r="D66" s="36"/>
    </row>
    <row r="67" spans="2:4" s="13" customFormat="1">
      <c r="B67" s="36"/>
      <c r="D67" s="36"/>
    </row>
    <row r="68" spans="2:4" s="13" customFormat="1">
      <c r="B68" s="36"/>
      <c r="D68" s="36"/>
    </row>
    <row r="69" spans="2:4" s="13" customFormat="1">
      <c r="B69" s="36"/>
      <c r="D69" s="36"/>
    </row>
    <row r="70" spans="2:4" s="13" customFormat="1">
      <c r="B70" s="36"/>
      <c r="D70" s="36"/>
    </row>
    <row r="71" spans="2:4" s="13" customFormat="1">
      <c r="B71" s="36"/>
      <c r="D71" s="36"/>
    </row>
    <row r="72" spans="2:4" s="13" customFormat="1">
      <c r="B72" s="36"/>
      <c r="D72" s="36"/>
    </row>
    <row r="73" spans="2:4" s="13" customFormat="1">
      <c r="B73" s="36"/>
      <c r="D73" s="36"/>
    </row>
    <row r="74" spans="2:4" s="13" customFormat="1">
      <c r="B74" s="36"/>
      <c r="D74" s="36"/>
    </row>
    <row r="75" spans="2:4" s="13" customFormat="1">
      <c r="B75" s="36"/>
      <c r="D75" s="36"/>
    </row>
    <row r="76" spans="2:4" s="13" customFormat="1">
      <c r="B76" s="36"/>
      <c r="D76" s="36"/>
    </row>
    <row r="77" spans="2:4" s="13" customFormat="1">
      <c r="B77" s="36"/>
      <c r="D77" s="36"/>
    </row>
    <row r="78" spans="2:4" s="13" customFormat="1">
      <c r="B78" s="36"/>
      <c r="D78" s="36"/>
    </row>
    <row r="79" spans="2:4" s="13" customFormat="1">
      <c r="B79" s="36"/>
      <c r="D79" s="36"/>
    </row>
    <row r="80" spans="2:4" s="13" customFormat="1">
      <c r="B80" s="36"/>
      <c r="D80" s="36"/>
    </row>
    <row r="81" spans="2:4" s="13" customFormat="1">
      <c r="B81" s="36"/>
      <c r="D81" s="36"/>
    </row>
    <row r="82" spans="2:4" s="13" customFormat="1">
      <c r="B82" s="36"/>
      <c r="D82" s="36"/>
    </row>
  </sheetData>
  <sheetProtection sheet="1" selectLockedCells="1"/>
  <mergeCells count="24">
    <mergeCell ref="B43:M43"/>
    <mergeCell ref="B44:M44"/>
    <mergeCell ref="B37:M37"/>
    <mergeCell ref="B38:M38"/>
    <mergeCell ref="B39:M39"/>
    <mergeCell ref="B40:M40"/>
    <mergeCell ref="B41:M41"/>
    <mergeCell ref="B32:M32"/>
    <mergeCell ref="B33:M33"/>
    <mergeCell ref="B35:D35"/>
    <mergeCell ref="B36:M36"/>
    <mergeCell ref="B42:M42"/>
    <mergeCell ref="B1:M1"/>
    <mergeCell ref="B31:D31"/>
    <mergeCell ref="B29:D29"/>
    <mergeCell ref="F3:M3"/>
    <mergeCell ref="B21:D21"/>
    <mergeCell ref="B22:D22"/>
    <mergeCell ref="B23:D23"/>
    <mergeCell ref="B24:M24"/>
    <mergeCell ref="B30:M30"/>
    <mergeCell ref="B25:M26"/>
    <mergeCell ref="B27:K27"/>
    <mergeCell ref="B19:M19"/>
  </mergeCells>
  <printOptions horizontalCentered="1"/>
  <pageMargins left="0.45" right="0.45" top="0.5" bottom="0.5" header="0.3" footer="0.3"/>
  <pageSetup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oalseek">
                <anchor moveWithCells="1" sizeWithCells="1">
                  <from>
                    <xdr:col>5</xdr:col>
                    <xdr:colOff>19050</xdr:colOff>
                    <xdr:row>10</xdr:row>
                    <xdr:rowOff>171450</xdr:rowOff>
                  </from>
                  <to>
                    <xdr:col>7</xdr:col>
                    <xdr:colOff>266700</xdr:colOff>
                    <xdr:row>12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OZ vs non-OZ calculator</vt:lpstr>
      <vt:lpstr>'OZ vs non-OZ calculator'!Print_Area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 Busche</dc:creator>
  <cp:lastModifiedBy>Mike Sinn</cp:lastModifiedBy>
  <dcterms:created xsi:type="dcterms:W3CDTF">2019-09-23T11:48:51Z</dcterms:created>
  <dcterms:modified xsi:type="dcterms:W3CDTF">2020-12-15T19:17:15Z</dcterms:modified>
</cp:coreProperties>
</file>